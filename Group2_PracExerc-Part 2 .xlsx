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<sst xmlns="http://schemas.openxmlformats.org/spreadsheetml/2006/main" count="30" uniqueCount="30">
  <si>
    <t>Vulneratbility</t>
  </si>
  <si>
    <t>Scoring Weight</t>
  </si>
  <si>
    <t>Damage Potential</t>
  </si>
  <si>
    <t>Reproducibility</t>
  </si>
  <si>
    <t>Exploitability</t>
  </si>
  <si>
    <t>Affected Users</t>
  </si>
  <si>
    <t>Discoverability</t>
  </si>
  <si>
    <t>Probability</t>
  </si>
  <si>
    <t>Impact</t>
  </si>
  <si>
    <t>Overall Risk</t>
  </si>
  <si>
    <t>Rank</t>
  </si>
  <si>
    <t xml:space="preserve">
CWE-20: Improper Input Validation</t>
  </si>
  <si>
    <t>CWE-22: Improper Limitation of a Pathname to a Restricted Directory ('Path Traversal')</t>
  </si>
  <si>
    <t>CWE-77: Improper Neutralization of Special Elements used in a Command ('Command Injection')</t>
  </si>
  <si>
    <t>CWE-78: Improper Neutralization of Special Elements used in an OS Command ('OS Command Injection')</t>
  </si>
  <si>
    <t>CWE-79: Improper Neutralization of Input During Web Page Generation ('Cross-site Scripting')</t>
  </si>
  <si>
    <t>CWE-89: Improper Neutralization of Special Elements used in an SQL Command ('SQL Injection')</t>
  </si>
  <si>
    <t>CWE-94: Improper Control of Generation of Code ('Code Injection')</t>
  </si>
  <si>
    <t>CWE-200: Exposure of Sensitive Information to an Unauthorized Actor</t>
  </si>
  <si>
    <t xml:space="preserve">
CWE-269: Improper Privilege Management</t>
  </si>
  <si>
    <t xml:space="preserve">
CWE-287: Improper Authentication</t>
  </si>
  <si>
    <t xml:space="preserve">
CWE-306: Missing Authentication for Critical Function</t>
  </si>
  <si>
    <t xml:space="preserve">
CWE-352: Cross-Site Request Forgery (CSRF)</t>
  </si>
  <si>
    <t xml:space="preserve">
CWE-400: Uncontrolled Resource Consumption</t>
  </si>
  <si>
    <t xml:space="preserve">
CWE-434: Unrestricted Upload of File with Dangerous Type</t>
  </si>
  <si>
    <t xml:space="preserve">
CWE-502: Deserialization of Untrusted Data</t>
  </si>
  <si>
    <t xml:space="preserve">
CWE-798: Use of Hard-coded Credentials</t>
  </si>
  <si>
    <t xml:space="preserve">
CWE-862: Missing Authorization</t>
  </si>
  <si>
    <t xml:space="preserve">
CWE-863: Incorrect Authorization</t>
  </si>
  <si>
    <t xml:space="preserve">
CWE-918: Server-Side Request Forgery (SSRF)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</si>
</sst>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Lucida Sans"/>
    </font>
    <font>
      <sz val="10.0"/>
      <color theme="1"/>
      <name val="Lucida Sans"/>
    </font>
    <font>
      <sz val="11.0"/>
      <color theme="1"/>
      <name val="Lucida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2" pivot="0" name="Sheet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I20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4" max="5" width="17.63"/>
    <col customWidth="1" min="7" max="7" width="17.63"/>
    <col customWidth="1" min="8" max="8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11</v>
      </c>
      <c r="B2" s="6">
        <v>11.0</v>
      </c>
      <c r="C2" s="6">
        <v>7.0</v>
      </c>
      <c r="D2" s="6">
        <v>43.0</v>
      </c>
      <c r="E2" s="6">
        <v>9.0</v>
      </c>
      <c r="F2" s="7">
        <f t="shared" ref="F2:F20" si="1">C2</f>
        <v>7</v>
      </c>
      <c r="G2" s="6">
        <v>10.0</v>
      </c>
      <c r="H2" s="7">
        <f t="shared" ref="H2:H20" si="2">D2+E2+G2</f>
        <v>62</v>
      </c>
      <c r="I2" s="7">
        <f t="shared" ref="I2:I20" si="3">C2+F2</f>
        <v>14</v>
      </c>
      <c r="J2" s="8">
        <f t="shared" ref="J2:J20" si="4">B2*H2*I2</f>
        <v>9548</v>
      </c>
      <c r="K2" s="9">
        <f>RANK(J2,J2:J20)</f>
        <v>2</v>
      </c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5" t="s">
        <v>12</v>
      </c>
      <c r="B3" s="6">
        <v>5.0</v>
      </c>
      <c r="C3" s="6">
        <v>4.0</v>
      </c>
      <c r="D3" s="6">
        <v>23.0</v>
      </c>
      <c r="E3" s="6">
        <v>9.0</v>
      </c>
      <c r="F3" s="7">
        <f t="shared" si="1"/>
        <v>4</v>
      </c>
      <c r="G3" s="6">
        <v>9.0</v>
      </c>
      <c r="H3" s="7">
        <f t="shared" si="2"/>
        <v>41</v>
      </c>
      <c r="I3" s="7">
        <f t="shared" si="3"/>
        <v>8</v>
      </c>
      <c r="J3" s="8">
        <f t="shared" si="4"/>
        <v>1640</v>
      </c>
      <c r="K3" s="9">
        <f>RANK(J3,J2:J20)</f>
        <v>7</v>
      </c>
      <c r="L3" s="1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" t="s">
        <v>13</v>
      </c>
      <c r="B4" s="6">
        <v>4.0</v>
      </c>
      <c r="C4" s="6">
        <v>1.0</v>
      </c>
      <c r="D4" s="6">
        <v>9.0</v>
      </c>
      <c r="E4" s="6">
        <v>9.0</v>
      </c>
      <c r="F4" s="7">
        <f t="shared" si="1"/>
        <v>1</v>
      </c>
      <c r="G4" s="6">
        <v>1.0</v>
      </c>
      <c r="H4" s="7">
        <f t="shared" si="2"/>
        <v>19</v>
      </c>
      <c r="I4" s="7">
        <f t="shared" si="3"/>
        <v>2</v>
      </c>
      <c r="J4" s="8">
        <f t="shared" si="4"/>
        <v>152</v>
      </c>
      <c r="K4" s="9">
        <f>RANK(J4,J2:J20)</f>
        <v>18</v>
      </c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5" t="s">
        <v>14</v>
      </c>
      <c r="B5" s="6">
        <v>4.0</v>
      </c>
      <c r="C5" s="6">
        <v>7.0</v>
      </c>
      <c r="D5" s="6">
        <v>14.0</v>
      </c>
      <c r="E5" s="6">
        <v>9.0</v>
      </c>
      <c r="F5" s="7">
        <f t="shared" si="1"/>
        <v>7</v>
      </c>
      <c r="G5" s="6">
        <v>9.0</v>
      </c>
      <c r="H5" s="7">
        <f t="shared" si="2"/>
        <v>32</v>
      </c>
      <c r="I5" s="7">
        <f t="shared" si="3"/>
        <v>14</v>
      </c>
      <c r="J5" s="8">
        <f t="shared" si="4"/>
        <v>1792</v>
      </c>
      <c r="K5" s="9">
        <f>RANK(J5,J2:J20)</f>
        <v>6</v>
      </c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5" t="s">
        <v>15</v>
      </c>
      <c r="B6" s="6">
        <v>10.0</v>
      </c>
      <c r="C6" s="6">
        <v>6.0</v>
      </c>
      <c r="D6" s="6">
        <v>20.0</v>
      </c>
      <c r="E6" s="6">
        <v>9.0</v>
      </c>
      <c r="F6" s="7">
        <f t="shared" si="1"/>
        <v>6</v>
      </c>
      <c r="G6" s="6">
        <v>2.0</v>
      </c>
      <c r="H6" s="7">
        <f t="shared" si="2"/>
        <v>31</v>
      </c>
      <c r="I6" s="7">
        <f t="shared" si="3"/>
        <v>12</v>
      </c>
      <c r="J6" s="8">
        <f t="shared" si="4"/>
        <v>3720</v>
      </c>
      <c r="K6" s="9">
        <f>RANK(J6,J2:J20)</f>
        <v>5</v>
      </c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5" t="s">
        <v>16</v>
      </c>
      <c r="B7" s="6">
        <v>15.0</v>
      </c>
      <c r="C7" s="6">
        <v>6.0</v>
      </c>
      <c r="D7" s="6">
        <v>13.0</v>
      </c>
      <c r="E7" s="6">
        <v>9.0</v>
      </c>
      <c r="F7" s="7">
        <f t="shared" si="1"/>
        <v>6</v>
      </c>
      <c r="G7" s="6">
        <v>9.0</v>
      </c>
      <c r="H7" s="7">
        <f t="shared" si="2"/>
        <v>31</v>
      </c>
      <c r="I7" s="7">
        <f t="shared" si="3"/>
        <v>12</v>
      </c>
      <c r="J7" s="8">
        <f t="shared" si="4"/>
        <v>5580</v>
      </c>
      <c r="K7" s="9">
        <f>RANK(J7,J2:J20)</f>
        <v>4</v>
      </c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5" t="s">
        <v>17</v>
      </c>
      <c r="B8" s="6">
        <v>3.0</v>
      </c>
      <c r="C8" s="6">
        <v>4.0</v>
      </c>
      <c r="D8" s="6">
        <v>22.0</v>
      </c>
      <c r="E8" s="6">
        <v>5.0</v>
      </c>
      <c r="F8" s="7">
        <f t="shared" si="1"/>
        <v>4</v>
      </c>
      <c r="G8" s="6">
        <v>1.0</v>
      </c>
      <c r="H8" s="7">
        <f t="shared" si="2"/>
        <v>28</v>
      </c>
      <c r="I8" s="7">
        <f t="shared" si="3"/>
        <v>8</v>
      </c>
      <c r="J8" s="8">
        <f t="shared" si="4"/>
        <v>672</v>
      </c>
      <c r="K8" s="9">
        <f>RANK(J8,J2:J20)</f>
        <v>11</v>
      </c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5" t="s">
        <v>18</v>
      </c>
      <c r="B9" s="6">
        <v>4.0</v>
      </c>
      <c r="C9" s="6">
        <v>1.0</v>
      </c>
      <c r="D9" s="6">
        <v>19.0</v>
      </c>
      <c r="E9" s="6">
        <v>9.0</v>
      </c>
      <c r="F9" s="7">
        <f t="shared" si="1"/>
        <v>1</v>
      </c>
      <c r="G9" s="6">
        <v>6.0</v>
      </c>
      <c r="H9" s="7">
        <f t="shared" si="2"/>
        <v>34</v>
      </c>
      <c r="I9" s="7">
        <f t="shared" si="3"/>
        <v>2</v>
      </c>
      <c r="J9" s="8">
        <f t="shared" si="4"/>
        <v>272</v>
      </c>
      <c r="K9" s="9">
        <f>RANK(J9,J2:J20)</f>
        <v>17</v>
      </c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5" t="s">
        <v>19</v>
      </c>
      <c r="B10" s="6">
        <v>11.0</v>
      </c>
      <c r="C10" s="6">
        <v>1.0</v>
      </c>
      <c r="D10" s="6">
        <v>15.0</v>
      </c>
      <c r="E10" s="6">
        <v>5.0</v>
      </c>
      <c r="F10" s="7">
        <f t="shared" si="1"/>
        <v>1</v>
      </c>
      <c r="G10" s="6">
        <v>1.0</v>
      </c>
      <c r="H10" s="7">
        <f t="shared" si="2"/>
        <v>21</v>
      </c>
      <c r="I10" s="7">
        <f t="shared" si="3"/>
        <v>2</v>
      </c>
      <c r="J10" s="8">
        <f t="shared" si="4"/>
        <v>462</v>
      </c>
      <c r="K10" s="9">
        <f>RANK(J10,J2:J20)</f>
        <v>15</v>
      </c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5" t="s">
        <v>20</v>
      </c>
      <c r="B11" s="6">
        <v>4.0</v>
      </c>
      <c r="C11" s="6">
        <v>3.0</v>
      </c>
      <c r="D11" s="6">
        <v>33.0</v>
      </c>
      <c r="E11" s="6">
        <v>9.0</v>
      </c>
      <c r="F11" s="7">
        <f t="shared" si="1"/>
        <v>3</v>
      </c>
      <c r="G11" s="6">
        <v>9.0</v>
      </c>
      <c r="H11" s="7">
        <f t="shared" si="2"/>
        <v>51</v>
      </c>
      <c r="I11" s="7">
        <f t="shared" si="3"/>
        <v>6</v>
      </c>
      <c r="J11" s="8">
        <f t="shared" si="4"/>
        <v>1224</v>
      </c>
      <c r="K11" s="9">
        <f>RANK(J11,J2:J20)</f>
        <v>8</v>
      </c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5" t="s">
        <v>21</v>
      </c>
      <c r="B12" s="6">
        <v>4.0</v>
      </c>
      <c r="C12" s="6">
        <v>2.0</v>
      </c>
      <c r="D12" s="6">
        <v>17.0</v>
      </c>
      <c r="E12" s="6">
        <v>9.0</v>
      </c>
      <c r="F12" s="7">
        <f t="shared" si="1"/>
        <v>2</v>
      </c>
      <c r="G12" s="6">
        <v>8.0</v>
      </c>
      <c r="H12" s="7">
        <f t="shared" si="2"/>
        <v>34</v>
      </c>
      <c r="I12" s="7">
        <f t="shared" si="3"/>
        <v>4</v>
      </c>
      <c r="J12" s="8">
        <f t="shared" si="4"/>
        <v>544</v>
      </c>
      <c r="K12" s="9">
        <f>RANK(J12,J2:J20)</f>
        <v>12</v>
      </c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5" t="s">
        <v>22</v>
      </c>
      <c r="B13" s="6">
        <v>3.0</v>
      </c>
      <c r="C13" s="6">
        <v>5.0</v>
      </c>
      <c r="D13" s="6">
        <v>10.0</v>
      </c>
      <c r="E13" s="6">
        <v>5.0</v>
      </c>
      <c r="F13" s="7">
        <f t="shared" si="1"/>
        <v>5</v>
      </c>
      <c r="G13" s="6">
        <v>9.0</v>
      </c>
      <c r="H13" s="7">
        <f t="shared" si="2"/>
        <v>24</v>
      </c>
      <c r="I13" s="7">
        <f t="shared" si="3"/>
        <v>10</v>
      </c>
      <c r="J13" s="8">
        <f t="shared" si="4"/>
        <v>720</v>
      </c>
      <c r="K13" s="9">
        <f>RANK(J13,J2:J20)</f>
        <v>10</v>
      </c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5" t="s">
        <v>23</v>
      </c>
      <c r="B14" s="6">
        <v>2.0</v>
      </c>
      <c r="C14" s="6">
        <v>4.0</v>
      </c>
      <c r="D14" s="6">
        <v>17.0</v>
      </c>
      <c r="E14" s="6">
        <v>9.0</v>
      </c>
      <c r="F14" s="7">
        <f t="shared" si="1"/>
        <v>4</v>
      </c>
      <c r="G14" s="6">
        <v>3.0</v>
      </c>
      <c r="H14" s="7">
        <f t="shared" si="2"/>
        <v>29</v>
      </c>
      <c r="I14" s="7">
        <f t="shared" si="3"/>
        <v>8</v>
      </c>
      <c r="J14" s="8">
        <f t="shared" si="4"/>
        <v>464</v>
      </c>
      <c r="K14" s="9">
        <f>RANK(J14,J2:J20)</f>
        <v>14</v>
      </c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5" t="s">
        <v>24</v>
      </c>
      <c r="B15" s="6">
        <v>3.0</v>
      </c>
      <c r="C15" s="6">
        <v>1.0</v>
      </c>
      <c r="D15" s="6">
        <v>11.0</v>
      </c>
      <c r="E15" s="6">
        <v>5.0</v>
      </c>
      <c r="F15" s="7">
        <f t="shared" si="1"/>
        <v>1</v>
      </c>
      <c r="G15" s="6">
        <v>5.0</v>
      </c>
      <c r="H15" s="7">
        <f t="shared" si="2"/>
        <v>21</v>
      </c>
      <c r="I15" s="7">
        <f t="shared" si="3"/>
        <v>2</v>
      </c>
      <c r="J15" s="8">
        <f t="shared" si="4"/>
        <v>126</v>
      </c>
      <c r="K15" s="9">
        <f>RANK(J15,J2:J20)</f>
        <v>19</v>
      </c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5" t="s">
        <v>25</v>
      </c>
      <c r="B16" s="6">
        <v>3.0</v>
      </c>
      <c r="C16" s="6">
        <v>4.0</v>
      </c>
      <c r="D16" s="6">
        <v>13.0</v>
      </c>
      <c r="E16" s="6">
        <v>5.0</v>
      </c>
      <c r="F16" s="7">
        <f t="shared" si="1"/>
        <v>4</v>
      </c>
      <c r="G16" s="6">
        <v>1.0</v>
      </c>
      <c r="H16" s="7">
        <f t="shared" si="2"/>
        <v>19</v>
      </c>
      <c r="I16" s="7">
        <f t="shared" si="3"/>
        <v>8</v>
      </c>
      <c r="J16" s="8">
        <f t="shared" si="4"/>
        <v>456</v>
      </c>
      <c r="K16" s="9">
        <f>RANK(J16,J2:J20)</f>
        <v>16</v>
      </c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5" t="s">
        <v>26</v>
      </c>
      <c r="B17" s="6">
        <v>3.0</v>
      </c>
      <c r="C17" s="6">
        <v>5.0</v>
      </c>
      <c r="D17" s="6">
        <v>19.0</v>
      </c>
      <c r="E17" s="6">
        <v>9.0</v>
      </c>
      <c r="F17" s="7">
        <f t="shared" si="1"/>
        <v>5</v>
      </c>
      <c r="G17" s="6">
        <v>11.0</v>
      </c>
      <c r="H17" s="7">
        <f t="shared" si="2"/>
        <v>39</v>
      </c>
      <c r="I17" s="7">
        <f t="shared" si="3"/>
        <v>10</v>
      </c>
      <c r="J17" s="8">
        <f t="shared" si="4"/>
        <v>1170</v>
      </c>
      <c r="K17" s="9">
        <f>RANK(J17,J2:J20)</f>
        <v>9</v>
      </c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5" t="s">
        <v>27</v>
      </c>
      <c r="B18" s="6">
        <v>13.0</v>
      </c>
      <c r="C18" s="6">
        <v>10.0</v>
      </c>
      <c r="D18" s="6">
        <v>24.0</v>
      </c>
      <c r="E18" s="6">
        <v>9.0</v>
      </c>
      <c r="F18" s="7">
        <f t="shared" si="1"/>
        <v>10</v>
      </c>
      <c r="G18" s="6">
        <v>9.0</v>
      </c>
      <c r="H18" s="7">
        <f t="shared" si="2"/>
        <v>42</v>
      </c>
      <c r="I18" s="7">
        <f t="shared" si="3"/>
        <v>20</v>
      </c>
      <c r="J18" s="8">
        <f t="shared" si="4"/>
        <v>10920</v>
      </c>
      <c r="K18" s="9">
        <f>RANK(J18,J2:J20)</f>
        <v>1</v>
      </c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5" t="s">
        <v>28</v>
      </c>
      <c r="B19" s="6">
        <v>11.0</v>
      </c>
      <c r="C19" s="6">
        <v>11.0</v>
      </c>
      <c r="D19" s="6">
        <v>13.0</v>
      </c>
      <c r="E19" s="6">
        <v>9.0</v>
      </c>
      <c r="F19" s="7">
        <f t="shared" si="1"/>
        <v>11</v>
      </c>
      <c r="G19" s="6">
        <v>9.0</v>
      </c>
      <c r="H19" s="7">
        <f t="shared" si="2"/>
        <v>31</v>
      </c>
      <c r="I19" s="7">
        <f t="shared" si="3"/>
        <v>22</v>
      </c>
      <c r="J19" s="8">
        <f t="shared" si="4"/>
        <v>7502</v>
      </c>
      <c r="K19" s="9">
        <f>RANK(J19,J2:J20)</f>
        <v>3</v>
      </c>
      <c r="L19" s="1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5" t="s">
        <v>29</v>
      </c>
      <c r="B20" s="6">
        <v>4.0</v>
      </c>
      <c r="C20" s="6">
        <v>3.0</v>
      </c>
      <c r="D20" s="6">
        <v>9.0</v>
      </c>
      <c r="E20" s="6">
        <v>10.0</v>
      </c>
      <c r="F20" s="7">
        <f t="shared" si="1"/>
        <v>3</v>
      </c>
      <c r="G20" s="6">
        <v>1.0</v>
      </c>
      <c r="H20" s="7">
        <f t="shared" si="2"/>
        <v>20</v>
      </c>
      <c r="I20" s="7">
        <f t="shared" si="3"/>
        <v>6</v>
      </c>
      <c r="J20" s="8">
        <f t="shared" si="4"/>
        <v>480</v>
      </c>
      <c r="K20" s="9">
        <f>RANK(J20,J2:J20)</f>
        <v>13</v>
      </c>
      <c r="L20" s="1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4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4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4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4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4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4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4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4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4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4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4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4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4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4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4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4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4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4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4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4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4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4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4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4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4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4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4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4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4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4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4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4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4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4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4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4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4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4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4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4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4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4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4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4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4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4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4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4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4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4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4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4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4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4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4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4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4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4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4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4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4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4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4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4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4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4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4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4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4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4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4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4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4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4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4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4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4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4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4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4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4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4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4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4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4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4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4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4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4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4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4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4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4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4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4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4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4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4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4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4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4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4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4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4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4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4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4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4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4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4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4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4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4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4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4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4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4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4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4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4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4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4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4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4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4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4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4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4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4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4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4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4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4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4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4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4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4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4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4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4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4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4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4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4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4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4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4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4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4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4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4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4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4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4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4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4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4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4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4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4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4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4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4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4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4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4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4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4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4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4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4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4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4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4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4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4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4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4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4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4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4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4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4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4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4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4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4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4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4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4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4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4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4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4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4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4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4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4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4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4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4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4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4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4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4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4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4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4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4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4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4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4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4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4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4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4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4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4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4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4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4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4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4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4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4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4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4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4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4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4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4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4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4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4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4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4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4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4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4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4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4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4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4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4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4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4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4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4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4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4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4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4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4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4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4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4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4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4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4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4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4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4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4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4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4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4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4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4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4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4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4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4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4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4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4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4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4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4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4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4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4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4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4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4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4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4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4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4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4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4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4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4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4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4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4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4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4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4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4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4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4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4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4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4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4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4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4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4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4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4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4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4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4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4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4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4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4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4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4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4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4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4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4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4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4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4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4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4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4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4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4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4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4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4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4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4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4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4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4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4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4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4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4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4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4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4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4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4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4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4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4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4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4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4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4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4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4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4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4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4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4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4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4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4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4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4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4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4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4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4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4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4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4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4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4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4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4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4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4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4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4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4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4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4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4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4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4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4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4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4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4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4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4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4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4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4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4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4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4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4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4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4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4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4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4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4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4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4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4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4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4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4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4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4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4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4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4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4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4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4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4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4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4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4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4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4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4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4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4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4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4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4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4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4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4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4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4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4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4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4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4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4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4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4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4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4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4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4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4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4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4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4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4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4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4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4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4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4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4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4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4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4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4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4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4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4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4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4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4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4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4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4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4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4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4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4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4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4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4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4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4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4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4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4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4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4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4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4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4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4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4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4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4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4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4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4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4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4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4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4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4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4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4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4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4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4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4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4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4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4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4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4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4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4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4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4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4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4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4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4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4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4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4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4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4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4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4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4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4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4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4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4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4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4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4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4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4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4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4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4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4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4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4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4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4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4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4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4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4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4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4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4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4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4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4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4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4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4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4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4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4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4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4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4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4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4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4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4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4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4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4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4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4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4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4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4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4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4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4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4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4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4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4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4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4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4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4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4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4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4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4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4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4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4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4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4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4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4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4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4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4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4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4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4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4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4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4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4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4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4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4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4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4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4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4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4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4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4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4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4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4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4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4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4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4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4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4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4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4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4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4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4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4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4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4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4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4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4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4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4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4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4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4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4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4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4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4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4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4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4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4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4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4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4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4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4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4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4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4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4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4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4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4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4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4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4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4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4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4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4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4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4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4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4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4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4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4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4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4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4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4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4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4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4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4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4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4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4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4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4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4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4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4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4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4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4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4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4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4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4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4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4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4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4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4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4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4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4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4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4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4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4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4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4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4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4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4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4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4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4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4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4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4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4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4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4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4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4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4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4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4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4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4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4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4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4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4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4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4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4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4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4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4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4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4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4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4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4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4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4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4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4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4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4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4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4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4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4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4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4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4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4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4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4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4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4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4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4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4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4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4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4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4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4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4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4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4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4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4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4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4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4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4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4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4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4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4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4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4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4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4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4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4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4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4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4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4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4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4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4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4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4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4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4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4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4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4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4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4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4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4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4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4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4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4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4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4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4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4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4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4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4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4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4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4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4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4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4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4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4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4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4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4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4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4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4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4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4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4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4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4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4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4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4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4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4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4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4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4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4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4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4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4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4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4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4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4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4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4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4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4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4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4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4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4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4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4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4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4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4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4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4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4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4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4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4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4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4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4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4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4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4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4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4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4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4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4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4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4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4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4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4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4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4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4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4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4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4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4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4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4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4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4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4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4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4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4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4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4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4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4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4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4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4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4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4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4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4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4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4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4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4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4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4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4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4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4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4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4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4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4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4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4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4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4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4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4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4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4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4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4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4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4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4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4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4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4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4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4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4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4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4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4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4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4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4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4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4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4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4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4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4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4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4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4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4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4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4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4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4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4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4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conditionalFormatting sqref="K2:K20">
    <cfRule type="colorScale" priority="1">
      <colorScale>
        <cfvo type="min"/>
        <cfvo type="max"/>
        <color rgb="FFE06666"/>
        <color rgb="FFFFFFFF"/>
      </colorScale>
    </cfRule>
  </conditionalFormatting>
  <conditionalFormatting sqref="J2:J20">
    <cfRule type="colorScale" priority="2">
      <colorScale>
        <cfvo type="min"/>
        <cfvo type="max"/>
        <color rgb="FFFFFFFF"/>
        <color rgb="FFE06666"/>
      </colorScale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